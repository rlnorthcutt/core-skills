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leanDat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ByRegion" sheetId="4" state="visible" r:id="rId4"/>
    <sheet xmlns:r="http://schemas.openxmlformats.org/officeDocument/2006/relationships" name="Growth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North sells the most overall (total units)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'ByRegion'!$A$2:$A$5</f>
            </numRef>
          </cat>
          <val>
            <numRef>
              <f>'ByRegion'!$B$2:$B$5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units sold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East grew fastest: ~2.0-2.5%/week (not North, which has highest volume)</a:t>
            </a:r>
          </a:p>
        </rich>
      </tx>
    </title>
    <plotArea>
      <lineChart>
        <grouping val="standard"/>
        <ser>
          <idx val="0"/>
          <order val="0"/>
          <tx>
            <strRef>
              <f>'GrowthTrend'!B1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'GrowthTrend'!$A$2:$A$10</f>
            </numRef>
          </cat>
          <val>
            <numRef>
              <f>'GrowthTrend'!$B$2:$B$10</f>
            </numRef>
          </val>
        </ser>
        <ser>
          <idx val="1"/>
          <order val="1"/>
          <tx>
            <strRef>
              <f>'GrowthTrend'!C1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'GrowthTrend'!$A$2:$A$10</f>
            </numRef>
          </cat>
          <val>
            <numRef>
              <f>'GrowthTrend'!$C$2:$C$10</f>
            </numRef>
          </val>
        </ser>
        <ser>
          <idx val="2"/>
          <order val="2"/>
          <tx>
            <strRef>
              <f>'GrowthTrend'!D1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'GrowthTrend'!$A$2:$A$10</f>
            </numRef>
          </cat>
          <val>
            <numRef>
              <f>'GrowthTrend'!$D$2:$D$10</f>
            </numRef>
          </val>
        </ser>
        <ser>
          <idx val="3"/>
          <order val="3"/>
          <tx>
            <strRef>
              <f>'GrowthTrend'!E1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'GrowthTrend'!$A$2:$A$10</f>
            </numRef>
          </cat>
          <val>
            <numRef>
              <f>'GrowthTrend'!$E$2:$E$10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region</t>
        </is>
      </c>
      <c r="C1" t="inlineStr">
        <is>
          <t>units_sold</t>
        </is>
      </c>
    </row>
    <row r="2">
      <c r="A2" s="1" t="n">
        <v>46230</v>
      </c>
      <c r="B2" t="inlineStr">
        <is>
          <t>North</t>
        </is>
      </c>
      <c r="C2" t="n">
        <v>122.6</v>
      </c>
    </row>
    <row r="3">
      <c r="A3" s="1" t="n">
        <v>46237</v>
      </c>
      <c r="B3" t="inlineStr">
        <is>
          <t>North</t>
        </is>
      </c>
      <c r="C3" t="n">
        <v>121.6</v>
      </c>
    </row>
    <row r="4">
      <c r="A4" t="inlineStr">
        <is>
          <t>2026-W33</t>
        </is>
      </c>
      <c r="B4" t="inlineStr">
        <is>
          <t>North</t>
        </is>
      </c>
      <c r="C4" t="n">
        <v>122.1</v>
      </c>
    </row>
    <row r="5">
      <c r="A5" s="1" t="n">
        <v>46251</v>
      </c>
      <c r="B5" t="inlineStr">
        <is>
          <t>North</t>
        </is>
      </c>
      <c r="C5" t="n">
        <v>122.3</v>
      </c>
    </row>
    <row r="6">
      <c r="A6" s="1" t="n">
        <v>46258</v>
      </c>
      <c r="B6" t="inlineStr">
        <is>
          <t>North</t>
        </is>
      </c>
      <c r="C6" t="n">
        <v>125.5</v>
      </c>
    </row>
    <row r="7">
      <c r="A7" s="1" t="n">
        <v>46265</v>
      </c>
      <c r="B7" t="inlineStr">
        <is>
          <t>North</t>
        </is>
      </c>
      <c r="C7" t="n">
        <v>128.5</v>
      </c>
    </row>
    <row r="8">
      <c r="A8" s="1" t="n">
        <v>46272</v>
      </c>
      <c r="B8" t="inlineStr">
        <is>
          <t>North</t>
        </is>
      </c>
      <c r="C8" t="n">
        <v>132.7</v>
      </c>
    </row>
    <row r="9">
      <c r="A9" s="1" t="n">
        <v>46279</v>
      </c>
      <c r="B9" t="inlineStr">
        <is>
          <t>North</t>
        </is>
      </c>
      <c r="C9" t="n">
        <v>132.3</v>
      </c>
    </row>
    <row r="10">
      <c r="A10" s="1" t="n">
        <v>46286</v>
      </c>
      <c r="B10" t="inlineStr">
        <is>
          <t>North</t>
        </is>
      </c>
      <c r="C10" t="n">
        <v>133.8</v>
      </c>
    </row>
    <row r="11">
      <c r="A11" t="inlineStr">
        <is>
          <t>TOTAL</t>
        </is>
      </c>
      <c r="B11" t="inlineStr">
        <is>
          <t>North</t>
        </is>
      </c>
      <c r="C11" t="n">
        <v>1141.4</v>
      </c>
    </row>
    <row r="12">
      <c r="A12" s="1" t="n">
        <v>46230</v>
      </c>
      <c r="B12" t="inlineStr">
        <is>
          <t>South</t>
        </is>
      </c>
      <c r="C12" t="n">
        <v>92.90000000000001</v>
      </c>
    </row>
    <row r="13">
      <c r="A13" s="1" t="n">
        <v>46237</v>
      </c>
      <c r="B13" t="inlineStr">
        <is>
          <t>South</t>
        </is>
      </c>
      <c r="C13" t="n">
        <v>92</v>
      </c>
    </row>
    <row r="14">
      <c r="A14" s="1" t="n">
        <v>46244</v>
      </c>
      <c r="B14" t="inlineStr">
        <is>
          <t>South</t>
        </is>
      </c>
      <c r="C14" t="n">
        <v>92.8</v>
      </c>
    </row>
    <row r="15">
      <c r="A15" s="1" t="n">
        <v>46251</v>
      </c>
      <c r="B15" t="inlineStr">
        <is>
          <t>South</t>
        </is>
      </c>
      <c r="C15" t="n">
        <v>90.7</v>
      </c>
    </row>
    <row r="16">
      <c r="A16" t="inlineStr">
        <is>
          <t>2026-W35</t>
        </is>
      </c>
      <c r="B16" t="inlineStr">
        <is>
          <t>South</t>
        </is>
      </c>
      <c r="C16" t="n">
        <v>89.59999999999999</v>
      </c>
    </row>
    <row r="17">
      <c r="A17" s="1" t="n">
        <v>46265</v>
      </c>
      <c r="B17" t="inlineStr">
        <is>
          <t>South</t>
        </is>
      </c>
      <c r="C17" t="n">
        <v>91.2</v>
      </c>
    </row>
    <row r="18">
      <c r="A18" s="1" t="n">
        <v>46272</v>
      </c>
      <c r="B18" t="inlineStr">
        <is>
          <t>South</t>
        </is>
      </c>
      <c r="C18" t="n">
        <v>92.2</v>
      </c>
    </row>
    <row r="19">
      <c r="A19" s="1" t="n">
        <v>46279</v>
      </c>
      <c r="B19" t="inlineStr">
        <is>
          <t>South</t>
        </is>
      </c>
      <c r="C19" t="n">
        <v>91.3</v>
      </c>
    </row>
    <row r="20">
      <c r="A20" s="1" t="n">
        <v>46286</v>
      </c>
      <c r="B20" t="inlineStr">
        <is>
          <t>South</t>
        </is>
      </c>
      <c r="C20" t="n">
        <v>92.5</v>
      </c>
    </row>
    <row r="21">
      <c r="A21" s="1" t="n">
        <v>46230</v>
      </c>
      <c r="B21" t="inlineStr">
        <is>
          <t>East</t>
        </is>
      </c>
      <c r="C21" t="n">
        <v>83.90000000000001</v>
      </c>
    </row>
    <row r="22">
      <c r="A22" s="1" t="n">
        <v>46237</v>
      </c>
      <c r="B22" t="inlineStr">
        <is>
          <t>East</t>
        </is>
      </c>
      <c r="C22" t="n">
        <v>83</v>
      </c>
    </row>
    <row r="23">
      <c r="A23" s="1" t="n">
        <v>46244</v>
      </c>
      <c r="B23" t="inlineStr">
        <is>
          <t>East</t>
        </is>
      </c>
      <c r="C23" t="n">
        <v>86.90000000000001</v>
      </c>
    </row>
    <row r="24">
      <c r="A24" s="1" t="n">
        <v>46251</v>
      </c>
      <c r="B24" t="inlineStr">
        <is>
          <t>East</t>
        </is>
      </c>
      <c r="C24" t="n">
        <v>90.3</v>
      </c>
    </row>
    <row r="25">
      <c r="A25" s="1" t="n">
        <v>46258</v>
      </c>
      <c r="B25" t="inlineStr">
        <is>
          <t>East</t>
        </is>
      </c>
      <c r="C25" t="n">
        <v>91.59999999999999</v>
      </c>
    </row>
    <row r="26">
      <c r="A26" s="1" t="n">
        <v>46265</v>
      </c>
      <c r="B26" t="inlineStr">
        <is>
          <t>East</t>
        </is>
      </c>
      <c r="C26" t="n">
        <v>91.8</v>
      </c>
    </row>
    <row r="27">
      <c r="A27" s="1" t="n">
        <v>46272</v>
      </c>
      <c r="B27" t="inlineStr">
        <is>
          <t>East</t>
        </is>
      </c>
      <c r="C27" t="n">
        <v>96.8</v>
      </c>
    </row>
    <row r="28">
      <c r="A28" s="1" t="n">
        <v>46279</v>
      </c>
      <c r="B28" t="inlineStr">
        <is>
          <t>East</t>
        </is>
      </c>
      <c r="C28" t="n">
        <v>98.3</v>
      </c>
    </row>
    <row r="29">
      <c r="A29" s="1" t="n">
        <v>46286</v>
      </c>
      <c r="B29" t="inlineStr">
        <is>
          <t>East</t>
        </is>
      </c>
      <c r="C29" t="n">
        <v>98.3</v>
      </c>
    </row>
    <row r="30">
      <c r="A30" s="1" t="n">
        <v>46230</v>
      </c>
      <c r="B30" t="inlineStr">
        <is>
          <t>West</t>
        </is>
      </c>
      <c r="C30" t="n">
        <v>57.8</v>
      </c>
    </row>
    <row r="31">
      <c r="A31" s="1" t="n">
        <v>46237</v>
      </c>
      <c r="B31" t="inlineStr">
        <is>
          <t>West</t>
        </is>
      </c>
      <c r="C31" t="n">
        <v>60</v>
      </c>
    </row>
    <row r="32">
      <c r="A32" s="1" t="n">
        <v>46244</v>
      </c>
      <c r="B32" t="inlineStr">
        <is>
          <t>West</t>
        </is>
      </c>
      <c r="C32" t="n">
        <v>60.8</v>
      </c>
    </row>
    <row r="33">
      <c r="A33" s="1" t="n">
        <v>46251</v>
      </c>
      <c r="B33" t="inlineStr">
        <is>
          <t>West</t>
        </is>
      </c>
      <c r="C33" t="n">
        <v>62.8</v>
      </c>
    </row>
    <row r="34">
      <c r="A34" s="1" t="n">
        <v>46258</v>
      </c>
      <c r="B34" t="inlineStr">
        <is>
          <t>West</t>
        </is>
      </c>
      <c r="C34" t="n">
        <v>64.40000000000001</v>
      </c>
    </row>
    <row r="35">
      <c r="A35" s="1" t="n">
        <v>46265</v>
      </c>
      <c r="B35" t="inlineStr">
        <is>
          <t>West</t>
        </is>
      </c>
      <c r="C35" t="n">
        <v>64.8</v>
      </c>
    </row>
    <row r="36">
      <c r="A36" s="1" t="n">
        <v>46272</v>
      </c>
      <c r="B36" t="inlineStr">
        <is>
          <t>West</t>
        </is>
      </c>
      <c r="C36" t="n">
        <v>67.90000000000001</v>
      </c>
    </row>
    <row r="37">
      <c r="A37" s="1" t="n">
        <v>46279</v>
      </c>
      <c r="B37" t="inlineStr">
        <is>
          <t>West</t>
        </is>
      </c>
      <c r="C37" t="n">
        <v>67.3</v>
      </c>
    </row>
    <row r="38">
      <c r="A38" s="1" t="n">
        <v>46286</v>
      </c>
      <c r="B38" t="inlineStr">
        <is>
          <t>West</t>
        </is>
      </c>
      <c r="C38" t="n">
        <v>67.8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region</t>
        </is>
      </c>
      <c r="C1" t="inlineStr">
        <is>
          <t>units_sold</t>
        </is>
      </c>
    </row>
    <row r="2">
      <c r="A2" s="2" t="n">
        <v>46230</v>
      </c>
      <c r="B2" t="inlineStr">
        <is>
          <t>North</t>
        </is>
      </c>
      <c r="C2" t="n">
        <v>122.6</v>
      </c>
    </row>
    <row r="3">
      <c r="A3" s="2" t="n">
        <v>46237</v>
      </c>
      <c r="B3" t="inlineStr">
        <is>
          <t>North</t>
        </is>
      </c>
      <c r="C3" t="n">
        <v>121.6</v>
      </c>
    </row>
    <row r="4">
      <c r="A4" s="1" t="n">
        <v>46244</v>
      </c>
      <c r="B4" t="inlineStr">
        <is>
          <t>North</t>
        </is>
      </c>
      <c r="C4" t="n">
        <v>122.1</v>
      </c>
    </row>
    <row r="5">
      <c r="A5" s="2" t="n">
        <v>46251</v>
      </c>
      <c r="B5" t="inlineStr">
        <is>
          <t>North</t>
        </is>
      </c>
      <c r="C5" t="n">
        <v>122.3</v>
      </c>
    </row>
    <row r="6">
      <c r="A6" s="2" t="n">
        <v>46258</v>
      </c>
      <c r="B6" t="inlineStr">
        <is>
          <t>North</t>
        </is>
      </c>
      <c r="C6" t="n">
        <v>125.5</v>
      </c>
    </row>
    <row r="7">
      <c r="A7" s="2" t="n">
        <v>46265</v>
      </c>
      <c r="B7" t="inlineStr">
        <is>
          <t>North</t>
        </is>
      </c>
      <c r="C7" t="n">
        <v>128.5</v>
      </c>
    </row>
    <row r="8">
      <c r="A8" s="2" t="n">
        <v>46272</v>
      </c>
      <c r="B8" t="inlineStr">
        <is>
          <t>North</t>
        </is>
      </c>
      <c r="C8" t="n">
        <v>132.7</v>
      </c>
    </row>
    <row r="9">
      <c r="A9" s="2" t="n">
        <v>46279</v>
      </c>
      <c r="B9" t="inlineStr">
        <is>
          <t>North</t>
        </is>
      </c>
      <c r="C9" t="n">
        <v>132.3</v>
      </c>
    </row>
    <row r="10">
      <c r="A10" s="2" t="n">
        <v>46286</v>
      </c>
      <c r="B10" t="inlineStr">
        <is>
          <t>North</t>
        </is>
      </c>
      <c r="C10" t="n">
        <v>133.8</v>
      </c>
    </row>
    <row r="11">
      <c r="A11" s="2" t="n">
        <v>46230</v>
      </c>
      <c r="B11" t="inlineStr">
        <is>
          <t>South</t>
        </is>
      </c>
      <c r="C11" t="n">
        <v>92.90000000000001</v>
      </c>
    </row>
    <row r="12">
      <c r="A12" s="2" t="n">
        <v>46237</v>
      </c>
      <c r="B12" t="inlineStr">
        <is>
          <t>South</t>
        </is>
      </c>
      <c r="C12" t="n">
        <v>92</v>
      </c>
    </row>
    <row r="13">
      <c r="A13" s="2" t="n">
        <v>46244</v>
      </c>
      <c r="B13" t="inlineStr">
        <is>
          <t>South</t>
        </is>
      </c>
      <c r="C13" t="n">
        <v>92.8</v>
      </c>
    </row>
    <row r="14">
      <c r="A14" s="2" t="n">
        <v>46251</v>
      </c>
      <c r="B14" t="inlineStr">
        <is>
          <t>South</t>
        </is>
      </c>
      <c r="C14" t="n">
        <v>90.7</v>
      </c>
    </row>
    <row r="15">
      <c r="A15" s="1" t="n">
        <v>46258</v>
      </c>
      <c r="B15" t="inlineStr">
        <is>
          <t>South</t>
        </is>
      </c>
      <c r="C15" t="n">
        <v>89.59999999999999</v>
      </c>
    </row>
    <row r="16">
      <c r="A16" s="2" t="n">
        <v>46265</v>
      </c>
      <c r="B16" t="inlineStr">
        <is>
          <t>South</t>
        </is>
      </c>
      <c r="C16" t="n">
        <v>91.2</v>
      </c>
    </row>
    <row r="17">
      <c r="A17" s="2" t="n">
        <v>46272</v>
      </c>
      <c r="B17" t="inlineStr">
        <is>
          <t>South</t>
        </is>
      </c>
      <c r="C17" t="n">
        <v>92.2</v>
      </c>
    </row>
    <row r="18">
      <c r="A18" s="2" t="n">
        <v>46279</v>
      </c>
      <c r="B18" t="inlineStr">
        <is>
          <t>South</t>
        </is>
      </c>
      <c r="C18" t="n">
        <v>91.3</v>
      </c>
    </row>
    <row r="19">
      <c r="A19" s="2" t="n">
        <v>46286</v>
      </c>
      <c r="B19" t="inlineStr">
        <is>
          <t>South</t>
        </is>
      </c>
      <c r="C19" t="n">
        <v>92.5</v>
      </c>
    </row>
    <row r="20">
      <c r="A20" s="2" t="n">
        <v>46230</v>
      </c>
      <c r="B20" t="inlineStr">
        <is>
          <t>East</t>
        </is>
      </c>
      <c r="C20" t="n">
        <v>83.90000000000001</v>
      </c>
    </row>
    <row r="21">
      <c r="A21" s="2" t="n">
        <v>46237</v>
      </c>
      <c r="B21" t="inlineStr">
        <is>
          <t>East</t>
        </is>
      </c>
      <c r="C21" t="n">
        <v>83</v>
      </c>
    </row>
    <row r="22">
      <c r="A22" s="2" t="n">
        <v>46244</v>
      </c>
      <c r="B22" t="inlineStr">
        <is>
          <t>East</t>
        </is>
      </c>
      <c r="C22" t="n">
        <v>86.90000000000001</v>
      </c>
    </row>
    <row r="23">
      <c r="A23" s="2" t="n">
        <v>46251</v>
      </c>
      <c r="B23" t="inlineStr">
        <is>
          <t>East</t>
        </is>
      </c>
      <c r="C23" t="n">
        <v>90.3</v>
      </c>
    </row>
    <row r="24">
      <c r="A24" s="2" t="n">
        <v>46258</v>
      </c>
      <c r="B24" t="inlineStr">
        <is>
          <t>East</t>
        </is>
      </c>
      <c r="C24" t="n">
        <v>91.59999999999999</v>
      </c>
    </row>
    <row r="25">
      <c r="A25" s="2" t="n">
        <v>46265</v>
      </c>
      <c r="B25" t="inlineStr">
        <is>
          <t>East</t>
        </is>
      </c>
      <c r="C25" t="n">
        <v>91.8</v>
      </c>
    </row>
    <row r="26">
      <c r="A26" s="2" t="n">
        <v>46272</v>
      </c>
      <c r="B26" t="inlineStr">
        <is>
          <t>East</t>
        </is>
      </c>
      <c r="C26" t="n">
        <v>96.8</v>
      </c>
    </row>
    <row r="27">
      <c r="A27" s="2" t="n">
        <v>46279</v>
      </c>
      <c r="B27" t="inlineStr">
        <is>
          <t>East</t>
        </is>
      </c>
      <c r="C27" t="n">
        <v>98.3</v>
      </c>
    </row>
    <row r="28">
      <c r="A28" s="2" t="n">
        <v>46286</v>
      </c>
      <c r="B28" t="inlineStr">
        <is>
          <t>East</t>
        </is>
      </c>
      <c r="C28" t="n">
        <v>98.3</v>
      </c>
    </row>
    <row r="29">
      <c r="A29" s="2" t="n">
        <v>46230</v>
      </c>
      <c r="B29" t="inlineStr">
        <is>
          <t>West</t>
        </is>
      </c>
      <c r="C29" t="n">
        <v>57.8</v>
      </c>
    </row>
    <row r="30">
      <c r="A30" s="2" t="n">
        <v>46237</v>
      </c>
      <c r="B30" t="inlineStr">
        <is>
          <t>West</t>
        </is>
      </c>
      <c r="C30" t="n">
        <v>60</v>
      </c>
    </row>
    <row r="31">
      <c r="A31" s="2" t="n">
        <v>46244</v>
      </c>
      <c r="B31" t="inlineStr">
        <is>
          <t>West</t>
        </is>
      </c>
      <c r="C31" t="n">
        <v>60.8</v>
      </c>
    </row>
    <row r="32">
      <c r="A32" s="2" t="n">
        <v>46251</v>
      </c>
      <c r="B32" t="inlineStr">
        <is>
          <t>West</t>
        </is>
      </c>
      <c r="C32" t="n">
        <v>62.8</v>
      </c>
    </row>
    <row r="33">
      <c r="A33" s="2" t="n">
        <v>46258</v>
      </c>
      <c r="B33" t="inlineStr">
        <is>
          <t>West</t>
        </is>
      </c>
      <c r="C33" t="n">
        <v>64.40000000000001</v>
      </c>
    </row>
    <row r="34">
      <c r="A34" s="2" t="n">
        <v>46265</v>
      </c>
      <c r="B34" t="inlineStr">
        <is>
          <t>West</t>
        </is>
      </c>
      <c r="C34" t="n">
        <v>64.8</v>
      </c>
    </row>
    <row r="35">
      <c r="A35" s="2" t="n">
        <v>46272</v>
      </c>
      <c r="B35" t="inlineStr">
        <is>
          <t>West</t>
        </is>
      </c>
      <c r="C35" t="n">
        <v>67.90000000000001</v>
      </c>
    </row>
    <row r="36">
      <c r="A36" s="2" t="n">
        <v>46279</v>
      </c>
      <c r="B36" t="inlineStr">
        <is>
          <t>West</t>
        </is>
      </c>
      <c r="C36" t="n">
        <v>67.3</v>
      </c>
    </row>
    <row r="37">
      <c r="A37" s="2" t="n">
        <v>46286</v>
      </c>
      <c r="B37" t="inlineStr">
        <is>
          <t>West</t>
        </is>
      </c>
      <c r="C37" t="n">
        <v>67.8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Source</t>
        </is>
      </c>
      <c r="B2" t="inlineStr">
        <is>
          <t>weekly-sales-dirty.xlsx (RawData sheet)</t>
        </is>
      </c>
    </row>
    <row r="3">
      <c r="A3" t="inlineStr">
        <is>
          <t>Type fix</t>
        </is>
      </c>
      <c r="B3" t="inlineStr">
        <is>
          <t>2 week values (North W33, South W35) were text strings -&gt; converted to real dates</t>
        </is>
      </c>
    </row>
    <row r="4">
      <c r="A4" t="inlineStr">
        <is>
          <t>Mid-table total</t>
        </is>
      </c>
      <c r="B4" t="inlineStr">
        <is>
          <t>1 TOTAL row (North, 1141.4) removed from data; it was a pasted-in subtotal, not a data row</t>
        </is>
      </c>
    </row>
    <row r="5">
      <c r="A5" t="inlineStr">
        <is>
          <t>Summary</t>
        </is>
      </c>
      <c r="B5" t="inlineStr">
        <is>
          <t>ByRegion sheet uses SUMIFS formulas over CleanData, not baked values</t>
        </is>
      </c>
    </row>
    <row r="6">
      <c r="A6" t="inlineStr">
        <is>
          <t>Chart</t>
        </is>
      </c>
      <c r="B6" t="inlineStr">
        <is>
          <t>OverallUnits chart: which region sells the most overall (bar of SUMIFS totals)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Units Sold</t>
        </is>
      </c>
    </row>
    <row r="2">
      <c r="A2" t="inlineStr">
        <is>
          <t>North</t>
        </is>
      </c>
      <c r="B2">
        <f>SUMIFS(CleanData!C:C,CleanData!B:B,A2)</f>
        <v/>
      </c>
    </row>
    <row r="3">
      <c r="A3" t="inlineStr">
        <is>
          <t>South</t>
        </is>
      </c>
      <c r="B3">
        <f>SUMIFS(CleanData!C:C,CleanData!B:B,A3)</f>
        <v/>
      </c>
    </row>
    <row r="4">
      <c r="A4" t="inlineStr">
        <is>
          <t>East</t>
        </is>
      </c>
      <c r="B4">
        <f>SUMIFS(CleanData!C:C,CleanData!B:B,A4)</f>
        <v/>
      </c>
    </row>
    <row r="5">
      <c r="A5" t="inlineStr">
        <is>
          <t>West</t>
        </is>
      </c>
      <c r="B5">
        <f>SUMIFS(CleanData!C:C,CleanData!B:B,A5)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s="2" t="n">
        <v>46230</v>
      </c>
      <c r="B2" t="n">
        <v>122.6</v>
      </c>
      <c r="C2" t="n">
        <v>92.90000000000001</v>
      </c>
      <c r="D2" t="n">
        <v>83.90000000000001</v>
      </c>
      <c r="E2" t="n">
        <v>57.8</v>
      </c>
    </row>
    <row r="3">
      <c r="A3" s="2" t="n">
        <v>46237</v>
      </c>
      <c r="B3" t="n">
        <v>121.6</v>
      </c>
      <c r="C3" t="n">
        <v>92</v>
      </c>
      <c r="D3" t="n">
        <v>83</v>
      </c>
      <c r="E3" t="n">
        <v>60</v>
      </c>
    </row>
    <row r="4">
      <c r="A4" s="2" t="n">
        <v>46244</v>
      </c>
      <c r="B4" t="n">
        <v>122.1</v>
      </c>
      <c r="C4" t="n">
        <v>92.8</v>
      </c>
      <c r="D4" t="n">
        <v>86.90000000000001</v>
      </c>
      <c r="E4" t="n">
        <v>60.8</v>
      </c>
    </row>
    <row r="5">
      <c r="A5" s="2" t="n">
        <v>46251</v>
      </c>
      <c r="B5" t="n">
        <v>122.3</v>
      </c>
      <c r="C5" t="n">
        <v>90.7</v>
      </c>
      <c r="D5" t="n">
        <v>90.3</v>
      </c>
      <c r="E5" t="n">
        <v>62.8</v>
      </c>
    </row>
    <row r="6">
      <c r="A6" s="2" t="n">
        <v>46258</v>
      </c>
      <c r="B6" t="n">
        <v>125.5</v>
      </c>
      <c r="C6" t="n">
        <v>89.59999999999999</v>
      </c>
      <c r="D6" t="n">
        <v>91.59999999999999</v>
      </c>
      <c r="E6" t="n">
        <v>64.40000000000001</v>
      </c>
    </row>
    <row r="7">
      <c r="A7" s="2" t="n">
        <v>46265</v>
      </c>
      <c r="B7" t="n">
        <v>128.5</v>
      </c>
      <c r="C7" t="n">
        <v>91.2</v>
      </c>
      <c r="D7" t="n">
        <v>91.8</v>
      </c>
      <c r="E7" t="n">
        <v>64.8</v>
      </c>
    </row>
    <row r="8">
      <c r="A8" s="2" t="n">
        <v>46272</v>
      </c>
      <c r="B8" t="n">
        <v>132.7</v>
      </c>
      <c r="C8" t="n">
        <v>92.2</v>
      </c>
      <c r="D8" t="n">
        <v>96.8</v>
      </c>
      <c r="E8" t="n">
        <v>67.90000000000001</v>
      </c>
    </row>
    <row r="9">
      <c r="A9" s="2" t="n">
        <v>46279</v>
      </c>
      <c r="B9" t="n">
        <v>132.3</v>
      </c>
      <c r="C9" t="n">
        <v>91.3</v>
      </c>
      <c r="D9" t="n">
        <v>98.3</v>
      </c>
      <c r="E9" t="n">
        <v>67.3</v>
      </c>
    </row>
    <row r="10">
      <c r="A10" s="2" t="n">
        <v>46286</v>
      </c>
      <c r="B10" t="n">
        <v>133.8</v>
      </c>
      <c r="C10" t="n">
        <v>92.5</v>
      </c>
      <c r="D10" t="n">
        <v>98.3</v>
      </c>
      <c r="E10" t="n">
        <v>67.8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2026-09-10T14:49:24Z</dcterms:created>
  <dcterms:modified xmlns:dcterms="http://purl.org/dc/terms/" xmlns:xsi="http://www.w3.org/2001/XMLSchema-instance" xsi:type="dcterms:W3CDTF">2026-09-10T14:50:04Z</dcterms:modified>
</cp:coreProperties>
</file>